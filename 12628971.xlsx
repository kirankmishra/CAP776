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366" documentId="8_{B77C434B-7271-4DC5-97B4-D8EF94629151}" xr6:coauthVersionLast="47" xr6:coauthVersionMax="47" xr10:uidLastSave="{AA91C37D-D75B-4461-84A2-E517BAE5DF98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24" i="2"/>
  <c r="J424" i="2" s="1"/>
  <c r="I423" i="2"/>
  <c r="J423" i="2" s="1"/>
  <c r="I422" i="2"/>
  <c r="J422" i="2" s="1"/>
  <c r="I421" i="2"/>
  <c r="J421" i="2" s="1"/>
  <c r="I420" i="2"/>
  <c r="J420" i="2" s="1"/>
  <c r="I419" i="2"/>
  <c r="J419" i="2" s="1"/>
  <c r="I418" i="2"/>
  <c r="J418" i="2" s="1"/>
  <c r="I417" i="2"/>
  <c r="J417" i="2" s="1"/>
  <c r="I416" i="2"/>
  <c r="J416" i="2" s="1"/>
  <c r="I415" i="2"/>
  <c r="J415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I32" i="2"/>
  <c r="I31" i="2"/>
  <c r="I30" i="2"/>
  <c r="J30" i="2" s="1"/>
  <c r="I6" i="2"/>
  <c r="J6" i="2" l="1"/>
</calcChain>
</file>

<file path=xl/sharedStrings.xml><?xml version="1.0" encoding="utf-8"?>
<sst xmlns="http://schemas.openxmlformats.org/spreadsheetml/2006/main" count="155" uniqueCount="63">
  <si>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</si>
  <si>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</si>
  <si>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</si>
  <si>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</si>
  <si>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</si>
  <si>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</si>
  <si>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</si>
  <si>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</si>
  <si>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</si>
  <si>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</si>
  <si>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</si>
  <si>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</si>
  <si>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</si>
  <si>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</si>
  <si>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</si>
  <si>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</si>
  <si>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</si>
  <si>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</si>
  <si>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</si>
  <si>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</si>
  <si>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</si>
  <si>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</si>
  <si>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</si>
  <si>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</si>
  <si>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</si>
  <si>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</si>
  <si>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</si>
  <si>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</si>
  <si>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</si>
  <si>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</si>
  <si>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</si>
  <si>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</si>
  <si>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</si>
  <si>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</si>
  <si>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</si>
  <si>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</si>
  <si>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</si>
  <si>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</si>
  <si>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</si>
  <si>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</si>
  <si>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</si>
  <si>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</si>
  <si>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</si>
  <si>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</si>
  <si>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</si>
  <si>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</si>
  <si>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</si>
  <si>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</si>
  <si>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</si>
  <si>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</si>
  <si>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</si>
  <si>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</si>
  <si>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</si>
  <si>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</si>
  <si>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</si>
  <si>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</si>
  <si>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</si>
  <si>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</si>
  <si>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</si>
  <si>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Low</t>
  </si>
  <si>
    <t>High</t>
  </si>
  <si>
    <t>feeling not well</t>
  </si>
  <si>
    <t>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</si>
</sst>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24"/>
  <sheetViews>
    <sheetView showGridLines="0" tabSelected="1" zoomScale="85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92" si="0">IF(SUM(B6:F6,H6)=0,"",SUM(B6:F6,H6))</f>
        <v>885</v>
      </c>
      <c r="J6" s="10">
        <f t="shared" ref="J6:J92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8">
        <v>46251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>IF(SUM(B7:F7,H7)=0,"",SUM(B7:F7,H7))</f>
        <v>970</v>
      </c>
      <c r="J7" s="15">
        <f>IF(I7="","",1440-I7)</f>
        <v>470</v>
      </c>
      <c r="K7" s="16" t="s">
        <v>56</v>
      </c>
      <c r="L7" s="16" t="s">
        <v>57</v>
      </c>
      <c r="M7" s="16" t="s">
        <v>59</v>
      </c>
      <c r="N7" s="17" t="s">
        <v>49</v>
      </c>
    </row>
    <row r="8" spans="1:14" x14ac:dyDescent="0.35">
      <c r="A8" s="8"/>
      <c r="B8" s="9"/>
      <c r="C8" s="9"/>
      <c r="D8" s="9"/>
      <c r="E8" s="9"/>
      <c r="F8" s="9"/>
      <c r="G8" s="9"/>
      <c r="H8" s="9"/>
      <c r="I8" s="10"/>
      <c r="J8" s="10"/>
      <c r="K8" s="11"/>
      <c r="L8" s="11"/>
      <c r="M8" s="11"/>
      <c r="N8" s="12"/>
    </row>
    <row r="9" spans="1:14" x14ac:dyDescent="0.35">
      <c r="A9" s="8"/>
      <c r="B9" s="9"/>
      <c r="C9" s="9"/>
      <c r="D9" s="9"/>
      <c r="E9" s="9"/>
      <c r="F9" s="9"/>
      <c r="G9" s="9"/>
      <c r="H9" s="9"/>
      <c r="I9" s="10"/>
      <c r="J9" s="10"/>
      <c r="K9" s="11"/>
      <c r="L9" s="11"/>
      <c r="M9" s="11"/>
      <c r="N9" s="12"/>
    </row>
    <row r="10" spans="1:14" x14ac:dyDescent="0.35">
      <c r="A10" s="8"/>
      <c r="B10" s="9"/>
      <c r="C10" s="9"/>
      <c r="D10" s="9"/>
      <c r="E10" s="9"/>
      <c r="F10" s="9"/>
      <c r="G10" s="9"/>
      <c r="H10" s="9"/>
      <c r="I10" s="10"/>
      <c r="J10" s="10"/>
      <c r="K10" s="11"/>
      <c r="L10" s="11"/>
      <c r="M10" s="11"/>
      <c r="N10" s="12"/>
    </row>
    <row r="11" spans="1:14" x14ac:dyDescent="0.35">
      <c r="A11" s="8"/>
      <c r="B11" s="9"/>
      <c r="C11" s="9"/>
      <c r="D11" s="9"/>
      <c r="E11" s="9"/>
      <c r="F11" s="9"/>
      <c r="G11" s="9"/>
      <c r="H11" s="9"/>
      <c r="I11" s="10"/>
      <c r="J11" s="10"/>
      <c r="K11" s="11"/>
      <c r="L11" s="11"/>
      <c r="M11" s="11"/>
      <c r="N11" s="12"/>
    </row>
    <row r="12" spans="1:14" x14ac:dyDescent="0.35">
      <c r="A12" s="8"/>
      <c r="B12" s="9"/>
      <c r="C12" s="9"/>
      <c r="D12" s="9"/>
      <c r="E12" s="9"/>
      <c r="F12" s="9"/>
      <c r="G12" s="9"/>
      <c r="H12" s="9"/>
      <c r="I12" s="10"/>
      <c r="J12" s="10"/>
      <c r="K12" s="11"/>
      <c r="L12" s="11"/>
      <c r="M12" s="11"/>
      <c r="N12" s="12"/>
    </row>
    <row r="13" spans="1:14" x14ac:dyDescent="0.35">
      <c r="A13" s="8"/>
      <c r="B13" s="9"/>
      <c r="C13" s="9"/>
      <c r="D13" s="9"/>
      <c r="E13" s="9"/>
      <c r="F13" s="9"/>
      <c r="G13" s="9"/>
      <c r="H13" s="9"/>
      <c r="I13" s="10"/>
      <c r="J13" s="10"/>
      <c r="K13" s="11"/>
      <c r="L13" s="11"/>
      <c r="M13" s="11"/>
      <c r="N13" s="12"/>
    </row>
    <row r="14" spans="1:14" x14ac:dyDescent="0.35">
      <c r="A14" s="8"/>
      <c r="B14" s="9"/>
      <c r="C14" s="9"/>
      <c r="D14" s="9"/>
      <c r="E14" s="9"/>
      <c r="F14" s="9"/>
      <c r="G14" s="9"/>
      <c r="H14" s="9"/>
      <c r="I14" s="10"/>
      <c r="J14" s="10"/>
      <c r="K14" s="11"/>
      <c r="L14" s="11"/>
      <c r="M14" s="11"/>
      <c r="N14" s="12"/>
    </row>
    <row r="15" spans="1:14" x14ac:dyDescent="0.35">
      <c r="A15" s="8"/>
      <c r="B15" s="9"/>
      <c r="C15" s="9"/>
      <c r="D15" s="9"/>
      <c r="E15" s="9"/>
      <c r="F15" s="9"/>
      <c r="G15" s="9"/>
      <c r="H15" s="9"/>
      <c r="I15" s="10"/>
      <c r="J15" s="10"/>
      <c r="K15" s="11"/>
      <c r="L15" s="11"/>
      <c r="M15" s="11"/>
      <c r="N15" s="12"/>
    </row>
    <row r="16" spans="1:14" x14ac:dyDescent="0.35">
      <c r="A16" s="8"/>
      <c r="B16" s="9"/>
      <c r="C16" s="9"/>
      <c r="D16" s="9"/>
      <c r="E16" s="9"/>
      <c r="F16" s="9"/>
      <c r="G16" s="9"/>
      <c r="H16" s="9"/>
      <c r="I16" s="10"/>
      <c r="J16" s="10"/>
      <c r="K16" s="11"/>
      <c r="L16" s="11"/>
      <c r="M16" s="11"/>
      <c r="N16" s="12"/>
    </row>
    <row r="17" spans="1:14" x14ac:dyDescent="0.35">
      <c r="A17" s="8"/>
      <c r="B17" s="9"/>
      <c r="C17" s="9"/>
      <c r="D17" s="9"/>
      <c r="E17" s="9"/>
      <c r="F17" s="9"/>
      <c r="G17" s="9"/>
      <c r="H17" s="9"/>
      <c r="I17" s="10"/>
      <c r="J17" s="10"/>
      <c r="K17" s="11"/>
      <c r="L17" s="11"/>
      <c r="M17" s="11"/>
      <c r="N17" s="12"/>
    </row>
    <row r="18" spans="1:14" x14ac:dyDescent="0.35">
      <c r="A18" s="8"/>
      <c r="B18" s="9"/>
      <c r="C18" s="9"/>
      <c r="D18" s="9"/>
      <c r="E18" s="9"/>
      <c r="F18" s="9"/>
      <c r="G18" s="9"/>
      <c r="H18" s="9"/>
      <c r="I18" s="10"/>
      <c r="J18" s="10"/>
      <c r="K18" s="11"/>
      <c r="L18" s="11"/>
      <c r="M18" s="11"/>
      <c r="N18" s="12"/>
    </row>
    <row r="19" spans="1:14" x14ac:dyDescent="0.35">
      <c r="A19" s="8"/>
      <c r="B19" s="9"/>
      <c r="C19" s="9"/>
      <c r="D19" s="9"/>
      <c r="E19" s="9"/>
      <c r="F19" s="9"/>
      <c r="G19" s="9"/>
      <c r="H19" s="9"/>
      <c r="I19" s="10"/>
      <c r="J19" s="10"/>
      <c r="K19" s="11"/>
      <c r="L19" s="11"/>
      <c r="M19" s="11"/>
      <c r="N19" s="12"/>
    </row>
    <row r="20" spans="1:14" x14ac:dyDescent="0.35">
      <c r="A20" s="8"/>
      <c r="B20" s="9"/>
      <c r="C20" s="9"/>
      <c r="D20" s="9"/>
      <c r="E20" s="9"/>
      <c r="F20" s="9"/>
      <c r="G20" s="9"/>
      <c r="H20" s="9"/>
      <c r="I20" s="10"/>
      <c r="J20" s="10"/>
      <c r="K20" s="11"/>
      <c r="L20" s="11"/>
      <c r="M20" s="11"/>
      <c r="N20" s="12"/>
    </row>
    <row r="21" spans="1:14" x14ac:dyDescent="0.35">
      <c r="A21" s="8"/>
      <c r="B21" s="9"/>
      <c r="C21" s="9"/>
      <c r="D21" s="9"/>
      <c r="E21" s="9"/>
      <c r="F21" s="9"/>
      <c r="G21" s="9"/>
      <c r="H21" s="9"/>
      <c r="I21" s="10"/>
      <c r="J21" s="10"/>
      <c r="K21" s="11"/>
      <c r="L21" s="11"/>
      <c r="M21" s="11"/>
      <c r="N21" s="12"/>
    </row>
    <row r="22" spans="1:14" x14ac:dyDescent="0.35">
      <c r="A22" s="8"/>
      <c r="B22" s="9"/>
      <c r="C22" s="9"/>
      <c r="D22" s="9"/>
      <c r="E22" s="9"/>
      <c r="F22" s="9"/>
      <c r="G22" s="9"/>
      <c r="H22" s="9"/>
      <c r="I22" s="10"/>
      <c r="J22" s="10"/>
      <c r="K22" s="11"/>
      <c r="L22" s="11"/>
      <c r="M22" s="11"/>
      <c r="N22" s="12"/>
    </row>
    <row r="23" spans="1:14" x14ac:dyDescent="0.35">
      <c r="A23" s="8"/>
      <c r="B23" s="9"/>
      <c r="C23" s="9"/>
      <c r="D23" s="9"/>
      <c r="E23" s="9"/>
      <c r="F23" s="9"/>
      <c r="G23" s="9"/>
      <c r="H23" s="9"/>
      <c r="I23" s="10"/>
      <c r="J23" s="10"/>
      <c r="K23" s="11"/>
      <c r="L23" s="11"/>
      <c r="M23" s="11"/>
      <c r="N23" s="12"/>
    </row>
    <row r="24" spans="1:14" x14ac:dyDescent="0.35">
      <c r="A24" s="8"/>
      <c r="B24" s="9"/>
      <c r="C24" s="9"/>
      <c r="D24" s="9"/>
      <c r="E24" s="9"/>
      <c r="F24" s="9"/>
      <c r="G24" s="9"/>
      <c r="H24" s="9"/>
      <c r="I24" s="10"/>
      <c r="J24" s="10"/>
      <c r="K24" s="11"/>
      <c r="L24" s="11"/>
      <c r="M24" s="11"/>
      <c r="N24" s="12"/>
    </row>
    <row r="25" spans="1:14" x14ac:dyDescent="0.35">
      <c r="A25" s="8"/>
      <c r="B25" s="9"/>
      <c r="C25" s="9"/>
      <c r="D25" s="9"/>
      <c r="E25" s="9"/>
      <c r="F25" s="9"/>
      <c r="G25" s="9"/>
      <c r="H25" s="9"/>
      <c r="I25" s="10"/>
      <c r="J25" s="10"/>
      <c r="K25" s="11"/>
      <c r="L25" s="11"/>
      <c r="M25" s="11"/>
      <c r="N25" s="12"/>
    </row>
    <row r="26" spans="1:14" x14ac:dyDescent="0.35">
      <c r="A26" s="8"/>
      <c r="B26" s="9"/>
      <c r="C26" s="9"/>
      <c r="D26" s="9"/>
      <c r="E26" s="9"/>
      <c r="F26" s="9"/>
      <c r="G26" s="9"/>
      <c r="H26" s="9"/>
      <c r="I26" s="10"/>
      <c r="J26" s="10"/>
      <c r="K26" s="11"/>
      <c r="L26" s="11"/>
      <c r="M26" s="11"/>
      <c r="N26" s="12"/>
    </row>
    <row r="27" spans="1:14" x14ac:dyDescent="0.35">
      <c r="A27" s="8"/>
      <c r="B27" s="9"/>
      <c r="C27" s="9"/>
      <c r="D27" s="9"/>
      <c r="E27" s="9"/>
      <c r="F27" s="9"/>
      <c r="G27" s="9"/>
      <c r="H27" s="9"/>
      <c r="I27" s="10"/>
      <c r="J27" s="10"/>
      <c r="K27" s="11"/>
      <c r="L27" s="11"/>
      <c r="M27" s="11"/>
      <c r="N27" s="12"/>
    </row>
    <row r="28" spans="1:14" x14ac:dyDescent="0.35">
      <c r="A28" s="8"/>
      <c r="B28" s="9"/>
      <c r="C28" s="9"/>
      <c r="D28" s="9"/>
      <c r="E28" s="9"/>
      <c r="F28" s="9"/>
      <c r="G28" s="9"/>
      <c r="H28" s="9"/>
      <c r="I28" s="10"/>
      <c r="J28" s="10"/>
      <c r="K28" s="11"/>
      <c r="L28" s="11"/>
      <c r="M28" s="11"/>
      <c r="N28" s="12"/>
    </row>
    <row r="29" spans="1:14" x14ac:dyDescent="0.35">
      <c r="A29" s="8"/>
      <c r="B29" s="9"/>
      <c r="C29" s="9"/>
      <c r="D29" s="9"/>
      <c r="E29" s="9"/>
      <c r="F29" s="9"/>
      <c r="G29" s="9"/>
      <c r="H29" s="9"/>
      <c r="I29" s="10"/>
      <c r="J29" s="10"/>
      <c r="K29" s="11"/>
      <c r="L29" s="11"/>
      <c r="M29" s="11"/>
      <c r="N29" s="12"/>
    </row>
    <row r="30" spans="1:14" x14ac:dyDescent="0.35">
      <c r="A30" s="13">
        <v>46280</v>
      </c>
      <c r="B30" s="14">
        <v>500</v>
      </c>
      <c r="C30" s="14">
        <v>30</v>
      </c>
      <c r="D30" s="14">
        <v>100</v>
      </c>
      <c r="E30" s="14">
        <v>120</v>
      </c>
      <c r="F30" s="14">
        <v>200</v>
      </c>
      <c r="G30" s="14">
        <v>4</v>
      </c>
      <c r="H30" s="14">
        <v>20</v>
      </c>
      <c r="I30" s="15">
        <f>IF(SUM(B30:F30,H30)=0,"",SUM(B30:F30,H30))</f>
        <v>970</v>
      </c>
      <c r="J30" s="15">
        <f>IF(I30="","",1440-I30)</f>
        <v>470</v>
      </c>
      <c r="K30" s="16" t="s">
        <v>56</v>
      </c>
      <c r="L30" s="16" t="s">
        <v>57</v>
      </c>
      <c r="M30" s="16" t="s">
        <v>59</v>
      </c>
      <c r="N30" s="17" t="s">
        <v>58</v>
      </c>
    </row>
    <row r="31" spans="1:14" x14ac:dyDescent="0.35">
      <c r="A31" s="13">
        <v>46281</v>
      </c>
      <c r="B31" s="14">
        <v>420</v>
      </c>
      <c r="C31" s="14">
        <v>30</v>
      </c>
      <c r="D31" s="14">
        <v>120</v>
      </c>
      <c r="E31" s="14">
        <v>60</v>
      </c>
      <c r="F31" s="14">
        <v>300</v>
      </c>
      <c r="G31" s="14">
        <v>5</v>
      </c>
      <c r="H31" s="14">
        <v>510</v>
      </c>
      <c r="I31" s="15">
        <f t="shared" si="0"/>
        <v>1440</v>
      </c>
      <c r="J31" s="15">
        <v>510</v>
      </c>
      <c r="K31" s="16" t="s">
        <v>49</v>
      </c>
      <c r="L31" s="16" t="s">
        <v>50</v>
      </c>
      <c r="M31" s="16" t="s">
        <v>51</v>
      </c>
      <c r="N31" s="17"/>
    </row>
    <row r="32" spans="1:14" x14ac:dyDescent="0.35">
      <c r="A32" s="13">
        <v>46282</v>
      </c>
      <c r="B32" s="14">
        <v>420</v>
      </c>
      <c r="C32" s="14">
        <v>40</v>
      </c>
      <c r="D32" s="14">
        <v>120</v>
      </c>
      <c r="E32" s="14">
        <v>80</v>
      </c>
      <c r="F32" s="14">
        <v>150</v>
      </c>
      <c r="G32" s="14">
        <v>3</v>
      </c>
      <c r="H32" s="14">
        <v>630</v>
      </c>
      <c r="I32" s="15">
        <f t="shared" si="0"/>
        <v>1440</v>
      </c>
      <c r="J32" s="15">
        <v>630</v>
      </c>
      <c r="K32" s="16" t="s">
        <v>56</v>
      </c>
      <c r="L32" s="16" t="s">
        <v>50</v>
      </c>
      <c r="M32" s="16" t="s">
        <v>51</v>
      </c>
      <c r="N32" s="17" t="s">
        <v>49</v>
      </c>
    </row>
    <row r="33" spans="1:14" x14ac:dyDescent="0.35">
      <c r="A33" s="13">
        <v>46283</v>
      </c>
      <c r="B33" s="14">
        <v>400</v>
      </c>
      <c r="C33" s="14">
        <v>50</v>
      </c>
      <c r="D33" s="14">
        <v>150</v>
      </c>
      <c r="E33" s="14">
        <v>70</v>
      </c>
      <c r="F33" s="14">
        <v>300</v>
      </c>
      <c r="G33" s="14">
        <v>6</v>
      </c>
      <c r="H33" s="14">
        <v>470</v>
      </c>
      <c r="I33" s="15">
        <f t="shared" si="0"/>
        <v>1440</v>
      </c>
      <c r="J33" s="15">
        <v>470</v>
      </c>
      <c r="K33" s="16" t="s">
        <v>56</v>
      </c>
      <c r="L33" s="16" t="s">
        <v>50</v>
      </c>
      <c r="M33" s="16" t="s">
        <v>51</v>
      </c>
      <c r="N33" s="17" t="s">
        <v>49</v>
      </c>
    </row>
    <row r="34" spans="1:14" x14ac:dyDescent="0.35">
      <c r="A34" s="13">
        <v>46284</v>
      </c>
      <c r="B34" s="14">
        <v>450</v>
      </c>
      <c r="C34" s="14">
        <v>60</v>
      </c>
      <c r="D34" s="14">
        <v>200</v>
      </c>
      <c r="E34" s="14">
        <v>80</v>
      </c>
      <c r="F34" s="14">
        <v>0</v>
      </c>
      <c r="G34" s="14">
        <v>0</v>
      </c>
      <c r="H34" s="14">
        <v>650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57</v>
      </c>
      <c r="M34" s="16" t="s">
        <v>51</v>
      </c>
      <c r="N34" s="17" t="s">
        <v>49</v>
      </c>
    </row>
    <row r="35" spans="1:14" x14ac:dyDescent="0.35">
      <c r="A35" s="13">
        <v>46285</v>
      </c>
      <c r="B35" s="14">
        <v>450</v>
      </c>
      <c r="C35" s="14">
        <v>50</v>
      </c>
      <c r="D35" s="14">
        <v>200</v>
      </c>
      <c r="E35" s="14">
        <v>70</v>
      </c>
      <c r="F35" s="14">
        <v>0</v>
      </c>
      <c r="G35" s="14">
        <v>0</v>
      </c>
      <c r="H35" s="14">
        <v>670</v>
      </c>
      <c r="I35" s="15">
        <f t="shared" si="0"/>
        <v>1440</v>
      </c>
      <c r="J35" s="15">
        <f t="shared" si="1"/>
        <v>0</v>
      </c>
      <c r="K35" s="16" t="s">
        <v>59</v>
      </c>
      <c r="L35" s="16" t="s">
        <v>57</v>
      </c>
      <c r="M35" s="16" t="s">
        <v>59</v>
      </c>
      <c r="N35" s="17" t="s">
        <v>49</v>
      </c>
    </row>
    <row r="36" spans="1:14" x14ac:dyDescent="0.35">
      <c r="A36" s="13">
        <v>46286</v>
      </c>
      <c r="B36" s="14">
        <v>360</v>
      </c>
      <c r="C36" s="14">
        <v>80</v>
      </c>
      <c r="D36" s="14">
        <v>220</v>
      </c>
      <c r="E36" s="14">
        <v>80</v>
      </c>
      <c r="F36" s="14">
        <v>300</v>
      </c>
      <c r="G36" s="14">
        <v>6</v>
      </c>
      <c r="H36" s="14">
        <v>400</v>
      </c>
      <c r="I36" s="15">
        <f t="shared" si="0"/>
        <v>1440</v>
      </c>
      <c r="J36" s="15">
        <f t="shared" si="1"/>
        <v>0</v>
      </c>
      <c r="K36" s="16" t="s">
        <v>56</v>
      </c>
      <c r="L36" s="16" t="s">
        <v>56</v>
      </c>
      <c r="M36" s="16" t="s">
        <v>51</v>
      </c>
      <c r="N36" s="17" t="s">
        <v>49</v>
      </c>
    </row>
    <row r="37" spans="1:14" x14ac:dyDescent="0.35">
      <c r="A37" s="13">
        <v>46287</v>
      </c>
      <c r="B37" s="14">
        <v>360</v>
      </c>
      <c r="C37" s="14">
        <v>90</v>
      </c>
      <c r="D37" s="14">
        <v>230</v>
      </c>
      <c r="E37" s="14">
        <v>80</v>
      </c>
      <c r="F37" s="14">
        <v>300</v>
      </c>
      <c r="G37" s="14">
        <v>6</v>
      </c>
      <c r="H37" s="14">
        <v>380</v>
      </c>
      <c r="I37" s="15">
        <f t="shared" si="0"/>
        <v>1440</v>
      </c>
      <c r="J37" s="15">
        <f t="shared" si="1"/>
        <v>0</v>
      </c>
      <c r="K37" s="16" t="s">
        <v>56</v>
      </c>
      <c r="L37" s="16" t="s">
        <v>50</v>
      </c>
      <c r="M37" s="16" t="s">
        <v>51</v>
      </c>
      <c r="N37" s="17" t="s">
        <v>49</v>
      </c>
    </row>
    <row r="38" spans="1:14" x14ac:dyDescent="0.35">
      <c r="A38" s="13">
        <v>46288</v>
      </c>
      <c r="B38" s="14">
        <v>400</v>
      </c>
      <c r="C38" s="14">
        <v>60</v>
      </c>
      <c r="D38" s="14">
        <v>250</v>
      </c>
      <c r="E38" s="14">
        <v>70</v>
      </c>
      <c r="F38" s="14">
        <v>300</v>
      </c>
      <c r="G38" s="14">
        <v>6</v>
      </c>
      <c r="H38" s="14">
        <v>360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51</v>
      </c>
      <c r="N38" s="17" t="s">
        <v>49</v>
      </c>
    </row>
    <row r="39" spans="1:14" x14ac:dyDescent="0.35">
      <c r="A39" s="13">
        <v>46289</v>
      </c>
      <c r="B39" s="14">
        <v>450</v>
      </c>
      <c r="C39" s="14">
        <v>80</v>
      </c>
      <c r="D39" s="14">
        <v>250</v>
      </c>
      <c r="E39" s="14">
        <v>80</v>
      </c>
      <c r="F39" s="14">
        <v>150</v>
      </c>
      <c r="G39" s="14">
        <v>3</v>
      </c>
      <c r="H39" s="14">
        <v>430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50</v>
      </c>
      <c r="M39" s="16" t="s">
        <v>51</v>
      </c>
      <c r="N39" s="17" t="s">
        <v>49</v>
      </c>
    </row>
    <row r="40" spans="1:14" x14ac:dyDescent="0.35">
      <c r="A40" s="13">
        <v>46290</v>
      </c>
      <c r="B40" s="14">
        <v>450</v>
      </c>
      <c r="C40" s="14">
        <v>90</v>
      </c>
      <c r="D40" s="14">
        <v>300</v>
      </c>
      <c r="E40" s="14">
        <v>80</v>
      </c>
      <c r="F40" s="14">
        <v>300</v>
      </c>
      <c r="G40" s="14">
        <v>6</v>
      </c>
      <c r="H40" s="14">
        <v>220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60</v>
      </c>
      <c r="N40" s="17" t="s">
        <v>49</v>
      </c>
    </row>
    <row r="41" spans="1:14" x14ac:dyDescent="0.35">
      <c r="A41" s="13">
        <v>46291</v>
      </c>
      <c r="B41" s="14">
        <v>450</v>
      </c>
      <c r="C41" s="14">
        <v>90</v>
      </c>
      <c r="D41" s="14">
        <v>300</v>
      </c>
      <c r="E41" s="14">
        <v>80</v>
      </c>
      <c r="F41" s="14">
        <v>0</v>
      </c>
      <c r="G41" s="14">
        <v>0</v>
      </c>
      <c r="H41" s="14">
        <v>520</v>
      </c>
      <c r="I41" s="15">
        <f t="shared" si="0"/>
        <v>1440</v>
      </c>
      <c r="J41" s="15">
        <f t="shared" si="1"/>
        <v>0</v>
      </c>
      <c r="K41" s="16" t="s">
        <v>56</v>
      </c>
      <c r="L41" s="16" t="s">
        <v>57</v>
      </c>
      <c r="M41" s="16" t="s">
        <v>59</v>
      </c>
      <c r="N41" s="17" t="s">
        <v>49</v>
      </c>
    </row>
    <row r="42" spans="1:14" x14ac:dyDescent="0.35">
      <c r="A42" s="13">
        <v>46292</v>
      </c>
      <c r="B42" s="14">
        <v>300</v>
      </c>
      <c r="C42" s="14">
        <v>90</v>
      </c>
      <c r="D42" s="14">
        <v>250</v>
      </c>
      <c r="E42" s="14">
        <v>80</v>
      </c>
      <c r="F42" s="14">
        <v>0</v>
      </c>
      <c r="G42" s="14">
        <v>0</v>
      </c>
      <c r="H42" s="14">
        <v>720</v>
      </c>
      <c r="I42" s="15">
        <f t="shared" si="0"/>
        <v>1440</v>
      </c>
      <c r="J42" s="15">
        <f t="shared" si="1"/>
        <v>0</v>
      </c>
      <c r="K42" s="16" t="s">
        <v>56</v>
      </c>
      <c r="L42" s="16" t="s">
        <v>56</v>
      </c>
      <c r="M42" s="16" t="s">
        <v>51</v>
      </c>
      <c r="N42" s="17" t="s">
        <v>49</v>
      </c>
    </row>
    <row r="43" spans="1:14" x14ac:dyDescent="0.35">
      <c r="A43" s="13">
        <v>46293</v>
      </c>
      <c r="B43" s="14">
        <v>300</v>
      </c>
      <c r="C43" s="14">
        <v>50</v>
      </c>
      <c r="D43" s="14">
        <v>250</v>
      </c>
      <c r="E43" s="14">
        <v>70</v>
      </c>
      <c r="F43" s="14">
        <v>0</v>
      </c>
      <c r="G43" s="14">
        <v>0</v>
      </c>
      <c r="H43" s="14">
        <v>770</v>
      </c>
      <c r="I43" s="15">
        <f t="shared" si="0"/>
        <v>1440</v>
      </c>
      <c r="J43" s="15">
        <f t="shared" si="1"/>
        <v>0</v>
      </c>
      <c r="K43" s="16" t="s">
        <v>59</v>
      </c>
      <c r="L43" s="16" t="s">
        <v>57</v>
      </c>
      <c r="M43" s="16" t="s">
        <v>59</v>
      </c>
      <c r="N43" s="17" t="s">
        <v>61</v>
      </c>
    </row>
    <row r="44" spans="1:14" x14ac:dyDescent="0.35">
      <c r="A44" s="13">
        <v>46294</v>
      </c>
      <c r="B44" s="14">
        <v>420</v>
      </c>
      <c r="C44" s="14">
        <v>90</v>
      </c>
      <c r="D44" s="14">
        <v>240</v>
      </c>
      <c r="E44" s="14">
        <v>70</v>
      </c>
      <c r="F44" s="14">
        <v>0</v>
      </c>
      <c r="G44" s="14">
        <v>0</v>
      </c>
      <c r="H44" s="14">
        <v>620</v>
      </c>
      <c r="I44" s="15">
        <f t="shared" si="0"/>
        <v>1440</v>
      </c>
      <c r="J44" s="15">
        <v>0</v>
      </c>
      <c r="K44" s="16" t="s">
        <v>56</v>
      </c>
      <c r="L44" s="16" t="s">
        <v>56</v>
      </c>
      <c r="M44" s="16" t="s">
        <v>51</v>
      </c>
      <c r="N44" s="17" t="s">
        <v>49</v>
      </c>
    </row>
    <row r="45" spans="1:14" x14ac:dyDescent="0.35">
      <c r="A45" s="13">
        <v>46295</v>
      </c>
      <c r="B45" s="14">
        <v>420</v>
      </c>
      <c r="C45" s="14">
        <v>90</v>
      </c>
      <c r="D45" s="14">
        <v>250</v>
      </c>
      <c r="E45" s="14">
        <v>80</v>
      </c>
      <c r="F45" s="14">
        <v>0</v>
      </c>
      <c r="G45" s="14">
        <v>0</v>
      </c>
      <c r="H45" s="14">
        <v>600</v>
      </c>
      <c r="I45" s="15">
        <f t="shared" si="0"/>
        <v>1440</v>
      </c>
      <c r="J45" s="15">
        <f t="shared" si="1"/>
        <v>0</v>
      </c>
      <c r="K45" s="16" t="s">
        <v>56</v>
      </c>
      <c r="L45" s="16" t="s">
        <v>57</v>
      </c>
      <c r="M45" s="16" t="s">
        <v>51</v>
      </c>
      <c r="N45" s="17" t="s">
        <v>62</v>
      </c>
    </row>
    <row r="46" spans="1:14" x14ac:dyDescent="0.35">
      <c r="A46" s="13">
        <v>46296</v>
      </c>
      <c r="B46" s="14">
        <v>450</v>
      </c>
      <c r="C46" s="14">
        <v>80</v>
      </c>
      <c r="D46" s="14">
        <v>300</v>
      </c>
      <c r="E46" s="14">
        <v>80</v>
      </c>
      <c r="F46" s="14">
        <v>0</v>
      </c>
      <c r="G46" s="14">
        <v>0</v>
      </c>
      <c r="H46" s="14">
        <v>530</v>
      </c>
      <c r="I46" s="15">
        <f t="shared" si="0"/>
        <v>1440</v>
      </c>
      <c r="J46" s="15">
        <f t="shared" si="1"/>
        <v>0</v>
      </c>
      <c r="K46" s="16" t="s">
        <v>56</v>
      </c>
      <c r="L46" s="16" t="s">
        <v>56</v>
      </c>
      <c r="M46" s="16" t="s">
        <v>51</v>
      </c>
      <c r="N46" s="17" t="s">
        <v>49</v>
      </c>
    </row>
    <row r="47" spans="1:14" x14ac:dyDescent="0.35">
      <c r="A47" s="13">
        <v>46297</v>
      </c>
      <c r="B47" s="14">
        <v>450</v>
      </c>
      <c r="C47" s="14">
        <v>100</v>
      </c>
      <c r="D47" s="14">
        <v>300</v>
      </c>
      <c r="E47" s="14">
        <v>80</v>
      </c>
      <c r="F47" s="14">
        <v>0</v>
      </c>
      <c r="G47" s="14">
        <v>0</v>
      </c>
      <c r="H47" s="14">
        <v>510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60</v>
      </c>
      <c r="N47" s="17" t="s">
        <v>49</v>
      </c>
    </row>
    <row r="48" spans="1:14" x14ac:dyDescent="0.35">
      <c r="A48" s="13">
        <v>46298</v>
      </c>
      <c r="B48" s="14">
        <v>400</v>
      </c>
      <c r="C48" s="14">
        <v>80</v>
      </c>
      <c r="D48" s="14">
        <v>200</v>
      </c>
      <c r="E48" s="14">
        <v>70</v>
      </c>
      <c r="F48" s="14">
        <v>0</v>
      </c>
      <c r="G48" s="14">
        <v>0</v>
      </c>
      <c r="H48" s="14">
        <v>690</v>
      </c>
      <c r="I48" s="15">
        <f t="shared" si="0"/>
        <v>1440</v>
      </c>
      <c r="J48" s="15">
        <f t="shared" si="1"/>
        <v>0</v>
      </c>
      <c r="K48" s="16" t="s">
        <v>56</v>
      </c>
      <c r="L48" s="16" t="s">
        <v>56</v>
      </c>
      <c r="M48" s="16" t="s">
        <v>51</v>
      </c>
      <c r="N48" s="17" t="s">
        <v>49</v>
      </c>
    </row>
    <row r="49" spans="1:14" x14ac:dyDescent="0.35">
      <c r="A49" s="13">
        <v>46299</v>
      </c>
      <c r="B49" s="14">
        <v>200</v>
      </c>
      <c r="C49" s="14">
        <v>70</v>
      </c>
      <c r="D49" s="14">
        <v>200</v>
      </c>
      <c r="E49" s="14">
        <v>100</v>
      </c>
      <c r="F49" s="14">
        <v>0</v>
      </c>
      <c r="G49" s="14">
        <v>0</v>
      </c>
      <c r="H49" s="14">
        <v>870</v>
      </c>
      <c r="I49" s="15">
        <f t="shared" si="0"/>
        <v>1440</v>
      </c>
      <c r="J49" s="15">
        <f t="shared" si="1"/>
        <v>0</v>
      </c>
      <c r="K49" s="16" t="s">
        <v>56</v>
      </c>
      <c r="L49" s="16" t="s">
        <v>56</v>
      </c>
      <c r="M49" s="16" t="s">
        <v>51</v>
      </c>
      <c r="N49" s="17" t="s">
        <v>49</v>
      </c>
    </row>
    <row r="50" spans="1:14" x14ac:dyDescent="0.35">
      <c r="A50" s="13">
        <v>46300</v>
      </c>
      <c r="B50" s="14">
        <v>450</v>
      </c>
      <c r="C50" s="14">
        <v>60</v>
      </c>
      <c r="D50" s="14">
        <v>150</v>
      </c>
      <c r="E50" s="14">
        <v>80</v>
      </c>
      <c r="F50" s="14">
        <v>300</v>
      </c>
      <c r="G50" s="14">
        <v>6</v>
      </c>
      <c r="H50" s="14">
        <v>400</v>
      </c>
      <c r="I50" s="15">
        <f t="shared" si="0"/>
        <v>1440</v>
      </c>
      <c r="J50" s="15">
        <f t="shared" si="1"/>
        <v>0</v>
      </c>
      <c r="K50" s="16" t="s">
        <v>49</v>
      </c>
      <c r="L50" s="16" t="s">
        <v>50</v>
      </c>
      <c r="M50" s="16" t="s">
        <v>60</v>
      </c>
      <c r="N50" s="17" t="s">
        <v>49</v>
      </c>
    </row>
    <row r="51" spans="1:14" x14ac:dyDescent="0.35">
      <c r="A51" s="13">
        <v>46301</v>
      </c>
      <c r="B51" s="14">
        <v>420</v>
      </c>
      <c r="C51" s="14">
        <v>80</v>
      </c>
      <c r="D51" s="14">
        <v>150</v>
      </c>
      <c r="E51" s="14">
        <v>60</v>
      </c>
      <c r="F51" s="14">
        <v>300</v>
      </c>
      <c r="G51" s="14">
        <v>6</v>
      </c>
      <c r="H51" s="14">
        <v>430</v>
      </c>
      <c r="I51" s="15">
        <f t="shared" si="0"/>
        <v>1440</v>
      </c>
      <c r="J51" s="15">
        <f t="shared" si="1"/>
        <v>0</v>
      </c>
      <c r="K51" s="16" t="s">
        <v>49</v>
      </c>
      <c r="L51" s="16" t="s">
        <v>56</v>
      </c>
      <c r="M51" s="16" t="s">
        <v>51</v>
      </c>
      <c r="N51" s="17" t="s">
        <v>49</v>
      </c>
    </row>
    <row r="52" spans="1:14" x14ac:dyDescent="0.35">
      <c r="A52" s="13">
        <v>46302</v>
      </c>
      <c r="B52" s="14">
        <v>450</v>
      </c>
      <c r="C52" s="14">
        <v>70</v>
      </c>
      <c r="D52" s="14">
        <v>150</v>
      </c>
      <c r="E52" s="14">
        <v>60</v>
      </c>
      <c r="F52" s="14">
        <v>300</v>
      </c>
      <c r="G52" s="14">
        <v>6</v>
      </c>
      <c r="H52" s="14">
        <v>410</v>
      </c>
      <c r="I52" s="15">
        <f t="shared" si="0"/>
        <v>1440</v>
      </c>
      <c r="J52" s="15">
        <f t="shared" si="1"/>
        <v>0</v>
      </c>
      <c r="K52" s="16" t="s">
        <v>49</v>
      </c>
      <c r="L52" s="16" t="s">
        <v>56</v>
      </c>
      <c r="M52" s="16" t="s">
        <v>51</v>
      </c>
      <c r="N52" s="17" t="s">
        <v>49</v>
      </c>
    </row>
    <row r="53" spans="1:14" x14ac:dyDescent="0.35">
      <c r="A53" s="13">
        <v>46303</v>
      </c>
      <c r="B53" s="14">
        <v>450</v>
      </c>
      <c r="C53" s="14">
        <v>80</v>
      </c>
      <c r="D53" s="14">
        <v>120</v>
      </c>
      <c r="E53" s="14">
        <v>60</v>
      </c>
      <c r="F53" s="14">
        <v>150</v>
      </c>
      <c r="G53" s="14">
        <v>3</v>
      </c>
      <c r="H53" s="14">
        <v>580</v>
      </c>
      <c r="I53" s="15">
        <f t="shared" si="0"/>
        <v>1440</v>
      </c>
      <c r="J53" s="15">
        <f t="shared" si="1"/>
        <v>0</v>
      </c>
      <c r="K53" s="16" t="s">
        <v>56</v>
      </c>
      <c r="L53" s="16" t="s">
        <v>56</v>
      </c>
      <c r="M53" s="16" t="s">
        <v>51</v>
      </c>
      <c r="N53" s="17" t="s">
        <v>49</v>
      </c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0"/>
        <v/>
      </c>
      <c r="J77" s="15" t="str">
        <f t="shared" si="1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0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0"/>
        <v/>
      </c>
      <c r="J80" s="15" t="str">
        <f t="shared" si="1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0"/>
        <v/>
      </c>
      <c r="J81" s="15" t="str">
        <f t="shared" si="1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0"/>
        <v/>
      </c>
      <c r="J82" s="15" t="str">
        <f t="shared" si="1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0"/>
        <v/>
      </c>
      <c r="J83" s="15" t="str">
        <f t="shared" si="1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0"/>
        <v/>
      </c>
      <c r="J84" s="15" t="str">
        <f t="shared" si="1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0"/>
        <v/>
      </c>
      <c r="J85" s="15" t="str">
        <f t="shared" si="1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0"/>
        <v/>
      </c>
      <c r="J86" s="15" t="str">
        <f t="shared" si="1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0"/>
        <v/>
      </c>
      <c r="J87" s="15" t="str">
        <f t="shared" si="1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0"/>
        <v/>
      </c>
      <c r="J88" s="15" t="str">
        <f t="shared" si="1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0"/>
        <v/>
      </c>
      <c r="J89" s="15" t="str">
        <f t="shared" si="1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0"/>
        <v/>
      </c>
      <c r="J90" s="15" t="str">
        <f t="shared" si="1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0"/>
        <v/>
      </c>
      <c r="J91" s="15" t="str">
        <f t="shared" si="1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0"/>
        <v/>
      </c>
      <c r="J92" s="15" t="str">
        <f t="shared" si="1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ref="I93:I156" si="2">IF(SUM(B93:F93,H93)=0,"",SUM(B93:F93,H93))</f>
        <v/>
      </c>
      <c r="J93" s="15" t="str">
        <f t="shared" ref="J93:J156" si="3">IF(I93="","",1440-I93)</f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"/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"/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2"/>
        <v/>
      </c>
      <c r="J140" s="15" t="str">
        <f t="shared" si="3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2"/>
        <v/>
      </c>
      <c r="J141" s="15" t="str">
        <f t="shared" si="3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2"/>
        <v/>
      </c>
      <c r="J142" s="15" t="str">
        <f t="shared" si="3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2"/>
        <v/>
      </c>
      <c r="J143" s="15" t="str">
        <f t="shared" si="3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2"/>
        <v/>
      </c>
      <c r="J144" s="15" t="str">
        <f t="shared" si="3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2"/>
        <v/>
      </c>
      <c r="J145" s="15" t="str">
        <f t="shared" si="3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2"/>
        <v/>
      </c>
      <c r="J146" s="15" t="str">
        <f t="shared" si="3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2"/>
        <v/>
      </c>
      <c r="J147" s="15" t="str">
        <f t="shared" si="3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2"/>
        <v/>
      </c>
      <c r="J148" s="15" t="str">
        <f t="shared" si="3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2"/>
        <v/>
      </c>
      <c r="J149" s="15" t="str">
        <f t="shared" si="3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2"/>
        <v/>
      </c>
      <c r="J150" s="15" t="str">
        <f t="shared" si="3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2"/>
        <v/>
      </c>
      <c r="J151" s="15" t="str">
        <f t="shared" si="3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2"/>
        <v/>
      </c>
      <c r="J152" s="15" t="str">
        <f t="shared" si="3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2"/>
        <v/>
      </c>
      <c r="J153" s="15" t="str">
        <f t="shared" si="3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2"/>
        <v/>
      </c>
      <c r="J154" s="15" t="str">
        <f t="shared" si="3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2"/>
        <v/>
      </c>
      <c r="J155" s="15" t="str">
        <f t="shared" si="3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2"/>
        <v/>
      </c>
      <c r="J156" s="15" t="str">
        <f t="shared" si="3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ref="I157:I220" si="4">IF(SUM(B157:F157,H157)=0,"",SUM(B157:F157,H157))</f>
        <v/>
      </c>
      <c r="J157" s="15" t="str">
        <f t="shared" ref="J157:J220" si="5">IF(I157="","",1440-I157)</f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4"/>
        <v/>
      </c>
      <c r="J202" s="15" t="str">
        <f t="shared" si="5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4"/>
        <v/>
      </c>
      <c r="J203" s="15" t="str">
        <f t="shared" si="5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4"/>
        <v/>
      </c>
      <c r="J204" s="15" t="str">
        <f t="shared" si="5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4"/>
        <v/>
      </c>
      <c r="J205" s="15" t="str">
        <f t="shared" si="5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4"/>
        <v/>
      </c>
      <c r="J206" s="15" t="str">
        <f t="shared" si="5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4"/>
        <v/>
      </c>
      <c r="J207" s="15" t="str">
        <f t="shared" si="5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4"/>
        <v/>
      </c>
      <c r="J208" s="15" t="str">
        <f t="shared" si="5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4"/>
        <v/>
      </c>
      <c r="J209" s="15" t="str">
        <f t="shared" si="5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4"/>
        <v/>
      </c>
      <c r="J210" s="15" t="str">
        <f t="shared" si="5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4"/>
        <v/>
      </c>
      <c r="J211" s="15" t="str">
        <f t="shared" si="5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4"/>
        <v/>
      </c>
      <c r="J212" s="15" t="str">
        <f t="shared" si="5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4"/>
        <v/>
      </c>
      <c r="J213" s="15" t="str">
        <f t="shared" si="5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4"/>
        <v/>
      </c>
      <c r="J214" s="15" t="str">
        <f t="shared" si="5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4"/>
        <v/>
      </c>
      <c r="J215" s="15" t="str">
        <f t="shared" si="5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4"/>
        <v/>
      </c>
      <c r="J216" s="15" t="str">
        <f t="shared" si="5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4"/>
        <v/>
      </c>
      <c r="J217" s="15" t="str">
        <f t="shared" si="5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4"/>
        <v/>
      </c>
      <c r="J218" s="15" t="str">
        <f t="shared" si="5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4"/>
        <v/>
      </c>
      <c r="J219" s="15" t="str">
        <f t="shared" si="5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4"/>
        <v/>
      </c>
      <c r="J220" s="15" t="str">
        <f t="shared" si="5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ref="I221:I284" si="6">IF(SUM(B221:F221,H221)=0,"",SUM(B221:F221,H221))</f>
        <v/>
      </c>
      <c r="J221" s="15" t="str">
        <f t="shared" ref="J221:J284" si="7">IF(I221="","",1440-I221)</f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6"/>
        <v/>
      </c>
      <c r="J266" s="15" t="str">
        <f t="shared" si="7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6"/>
        <v/>
      </c>
      <c r="J267" s="15" t="str">
        <f t="shared" si="7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6"/>
        <v/>
      </c>
      <c r="J268" s="15" t="str">
        <f t="shared" si="7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6"/>
        <v/>
      </c>
      <c r="J269" s="15" t="str">
        <f t="shared" si="7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6"/>
        <v/>
      </c>
      <c r="J270" s="15" t="str">
        <f t="shared" si="7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6"/>
        <v/>
      </c>
      <c r="J271" s="15" t="str">
        <f t="shared" si="7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6"/>
        <v/>
      </c>
      <c r="J272" s="15" t="str">
        <f t="shared" si="7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6"/>
        <v/>
      </c>
      <c r="J273" s="15" t="str">
        <f t="shared" si="7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6"/>
        <v/>
      </c>
      <c r="J274" s="15" t="str">
        <f t="shared" si="7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6"/>
        <v/>
      </c>
      <c r="J275" s="15" t="str">
        <f t="shared" si="7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6"/>
        <v/>
      </c>
      <c r="J276" s="15" t="str">
        <f t="shared" si="7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6"/>
        <v/>
      </c>
      <c r="J277" s="15" t="str">
        <f t="shared" si="7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6"/>
        <v/>
      </c>
      <c r="J278" s="15" t="str">
        <f t="shared" si="7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6"/>
        <v/>
      </c>
      <c r="J279" s="15" t="str">
        <f t="shared" si="7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6"/>
        <v/>
      </c>
      <c r="J280" s="15" t="str">
        <f t="shared" si="7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6"/>
        <v/>
      </c>
      <c r="J281" s="15" t="str">
        <f t="shared" si="7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6"/>
        <v/>
      </c>
      <c r="J282" s="15" t="str">
        <f t="shared" si="7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6"/>
        <v/>
      </c>
      <c r="J283" s="15" t="str">
        <f t="shared" si="7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6"/>
        <v/>
      </c>
      <c r="J284" s="15" t="str">
        <f t="shared" si="7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ref="I285:I348" si="8">IF(SUM(B285:F285,H285)=0,"",SUM(B285:F285,H285))</f>
        <v/>
      </c>
      <c r="J285" s="15" t="str">
        <f t="shared" ref="J285:J348" si="9">IF(I285="","",1440-I285)</f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8"/>
        <v/>
      </c>
      <c r="J330" s="15" t="str">
        <f t="shared" si="9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8"/>
        <v/>
      </c>
      <c r="J331" s="15" t="str">
        <f t="shared" si="9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8"/>
        <v/>
      </c>
      <c r="J332" s="15" t="str">
        <f t="shared" si="9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8"/>
        <v/>
      </c>
      <c r="J333" s="15" t="str">
        <f t="shared" si="9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8"/>
        <v/>
      </c>
      <c r="J334" s="15" t="str">
        <f t="shared" si="9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8"/>
        <v/>
      </c>
      <c r="J335" s="15" t="str">
        <f t="shared" si="9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8"/>
        <v/>
      </c>
      <c r="J336" s="15" t="str">
        <f t="shared" si="9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8"/>
        <v/>
      </c>
      <c r="J337" s="15" t="str">
        <f t="shared" si="9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8"/>
        <v/>
      </c>
      <c r="J338" s="15" t="str">
        <f t="shared" si="9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8"/>
        <v/>
      </c>
      <c r="J339" s="15" t="str">
        <f t="shared" si="9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8"/>
        <v/>
      </c>
      <c r="J340" s="15" t="str">
        <f t="shared" si="9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8"/>
        <v/>
      </c>
      <c r="J341" s="15" t="str">
        <f t="shared" si="9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8"/>
        <v/>
      </c>
      <c r="J342" s="15" t="str">
        <f t="shared" si="9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8"/>
        <v/>
      </c>
      <c r="J343" s="15" t="str">
        <f t="shared" si="9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8"/>
        <v/>
      </c>
      <c r="J344" s="15" t="str">
        <f t="shared" si="9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8"/>
        <v/>
      </c>
      <c r="J345" s="15" t="str">
        <f t="shared" si="9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8"/>
        <v/>
      </c>
      <c r="J346" s="15" t="str">
        <f t="shared" si="9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8"/>
        <v/>
      </c>
      <c r="J347" s="15" t="str">
        <f t="shared" si="9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8"/>
        <v/>
      </c>
      <c r="J348" s="15" t="str">
        <f t="shared" si="9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ref="I349:I412" si="10">IF(SUM(B349:F349,H349)=0,"",SUM(B349:F349,H349))</f>
        <v/>
      </c>
      <c r="J349" s="15" t="str">
        <f t="shared" ref="J349:J412" si="11">IF(I349="","",1440-I349)</f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0"/>
        <v/>
      </c>
      <c r="J394" s="15" t="str">
        <f t="shared" si="11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0"/>
        <v/>
      </c>
      <c r="J395" s="15" t="str">
        <f t="shared" si="11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0"/>
        <v/>
      </c>
      <c r="J396" s="15" t="str">
        <f t="shared" si="11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0"/>
        <v/>
      </c>
      <c r="J397" s="15" t="str">
        <f t="shared" si="11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0"/>
        <v/>
      </c>
      <c r="J398" s="15" t="str">
        <f t="shared" si="11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0"/>
        <v/>
      </c>
      <c r="J399" s="15" t="str">
        <f t="shared" si="11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0"/>
        <v/>
      </c>
      <c r="J400" s="15" t="str">
        <f t="shared" si="11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0"/>
        <v/>
      </c>
      <c r="J401" s="15" t="str">
        <f t="shared" si="11"/>
        <v/>
      </c>
      <c r="K401" s="16"/>
      <c r="L401" s="16"/>
      <c r="M401" s="16"/>
      <c r="N401" s="17"/>
    </row>
    <row r="402" spans="1:14" x14ac:dyDescent="0.35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0"/>
        <v/>
      </c>
      <c r="J402" s="15" t="str">
        <f t="shared" si="11"/>
        <v/>
      </c>
      <c r="K402" s="16"/>
      <c r="L402" s="16"/>
      <c r="M402" s="16"/>
      <c r="N402" s="17"/>
    </row>
    <row r="403" spans="1:14" x14ac:dyDescent="0.35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0"/>
        <v/>
      </c>
      <c r="J403" s="15" t="str">
        <f t="shared" si="11"/>
        <v/>
      </c>
      <c r="K403" s="16"/>
      <c r="L403" s="16"/>
      <c r="M403" s="16"/>
      <c r="N403" s="17"/>
    </row>
    <row r="404" spans="1:14" x14ac:dyDescent="0.35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0"/>
        <v/>
      </c>
      <c r="J404" s="15" t="str">
        <f t="shared" si="11"/>
        <v/>
      </c>
      <c r="K404" s="16"/>
      <c r="L404" s="16"/>
      <c r="M404" s="16"/>
      <c r="N404" s="17"/>
    </row>
    <row r="405" spans="1:14" x14ac:dyDescent="0.35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0"/>
        <v/>
      </c>
      <c r="J405" s="15" t="str">
        <f t="shared" si="11"/>
        <v/>
      </c>
      <c r="K405" s="16"/>
      <c r="L405" s="16"/>
      <c r="M405" s="16"/>
      <c r="N405" s="17"/>
    </row>
    <row r="406" spans="1:14" x14ac:dyDescent="0.35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0"/>
        <v/>
      </c>
      <c r="J406" s="15" t="str">
        <f t="shared" si="11"/>
        <v/>
      </c>
      <c r="K406" s="16"/>
      <c r="L406" s="16"/>
      <c r="M406" s="16"/>
      <c r="N406" s="17"/>
    </row>
    <row r="407" spans="1:14" x14ac:dyDescent="0.35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0"/>
        <v/>
      </c>
      <c r="J407" s="15" t="str">
        <f t="shared" si="11"/>
        <v/>
      </c>
      <c r="K407" s="16"/>
      <c r="L407" s="16"/>
      <c r="M407" s="16"/>
      <c r="N407" s="17"/>
    </row>
    <row r="408" spans="1:14" x14ac:dyDescent="0.35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0"/>
        <v/>
      </c>
      <c r="J408" s="15" t="str">
        <f t="shared" si="11"/>
        <v/>
      </c>
      <c r="K408" s="16"/>
      <c r="L408" s="16"/>
      <c r="M408" s="16"/>
      <c r="N408" s="17"/>
    </row>
    <row r="409" spans="1:14" x14ac:dyDescent="0.35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0"/>
        <v/>
      </c>
      <c r="J409" s="15" t="str">
        <f t="shared" si="11"/>
        <v/>
      </c>
      <c r="K409" s="16"/>
      <c r="L409" s="16"/>
      <c r="M409" s="16"/>
      <c r="N409" s="17"/>
    </row>
    <row r="410" spans="1:14" x14ac:dyDescent="0.35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0"/>
        <v/>
      </c>
      <c r="J410" s="15" t="str">
        <f t="shared" si="11"/>
        <v/>
      </c>
      <c r="K410" s="16"/>
      <c r="L410" s="16"/>
      <c r="M410" s="16"/>
      <c r="N410" s="17"/>
    </row>
    <row r="411" spans="1:14" x14ac:dyDescent="0.35">
      <c r="A411" s="13"/>
      <c r="B411" s="14"/>
      <c r="C411" s="14"/>
      <c r="D411" s="14"/>
      <c r="E411" s="14"/>
      <c r="F411" s="14"/>
      <c r="G411" s="14"/>
      <c r="H411" s="14"/>
      <c r="I411" s="15" t="str">
        <f t="shared" si="10"/>
        <v/>
      </c>
      <c r="J411" s="15" t="str">
        <f t="shared" si="11"/>
        <v/>
      </c>
      <c r="K411" s="16"/>
      <c r="L411" s="16"/>
      <c r="M411" s="16"/>
      <c r="N411" s="17"/>
    </row>
    <row r="412" spans="1:14" x14ac:dyDescent="0.35">
      <c r="A412" s="13"/>
      <c r="B412" s="14"/>
      <c r="C412" s="14"/>
      <c r="D412" s="14"/>
      <c r="E412" s="14"/>
      <c r="F412" s="14"/>
      <c r="G412" s="14"/>
      <c r="H412" s="14"/>
      <c r="I412" s="15" t="str">
        <f t="shared" si="10"/>
        <v/>
      </c>
      <c r="J412" s="15" t="str">
        <f t="shared" si="11"/>
        <v/>
      </c>
      <c r="K412" s="16"/>
      <c r="L412" s="16"/>
      <c r="M412" s="16"/>
      <c r="N412" s="17"/>
    </row>
    <row r="413" spans="1:14" x14ac:dyDescent="0.35">
      <c r="A413" s="13"/>
      <c r="B413" s="14"/>
      <c r="C413" s="14"/>
      <c r="D413" s="14"/>
      <c r="E413" s="14"/>
      <c r="F413" s="14"/>
      <c r="G413" s="14"/>
      <c r="H413" s="14"/>
      <c r="I413" s="15" t="str">
        <f t="shared" ref="I413:I424" si="12">IF(SUM(B413:F413,H413)=0,"",SUM(B413:F413,H413))</f>
        <v/>
      </c>
      <c r="J413" s="15" t="str">
        <f t="shared" ref="J413:J424" si="13">IF(I413="","",1440-I413)</f>
        <v/>
      </c>
      <c r="K413" s="16"/>
      <c r="L413" s="16"/>
      <c r="M413" s="16"/>
      <c r="N413" s="17"/>
    </row>
    <row r="414" spans="1:14" x14ac:dyDescent="0.35">
      <c r="A414" s="13"/>
      <c r="B414" s="14"/>
      <c r="C414" s="14"/>
      <c r="D414" s="14"/>
      <c r="E414" s="14"/>
      <c r="F414" s="14"/>
      <c r="G414" s="14"/>
      <c r="H414" s="14"/>
      <c r="I414" s="15" t="str">
        <f t="shared" si="12"/>
        <v/>
      </c>
      <c r="J414" s="15" t="str">
        <f t="shared" si="13"/>
        <v/>
      </c>
      <c r="K414" s="16"/>
      <c r="L414" s="16"/>
      <c r="M414" s="16"/>
      <c r="N414" s="17"/>
    </row>
    <row r="415" spans="1:14" x14ac:dyDescent="0.35">
      <c r="A415" s="13"/>
      <c r="B415" s="14"/>
      <c r="C415" s="14"/>
      <c r="D415" s="14"/>
      <c r="E415" s="14"/>
      <c r="F415" s="14"/>
      <c r="G415" s="14"/>
      <c r="H415" s="14"/>
      <c r="I415" s="15" t="str">
        <f t="shared" si="12"/>
        <v/>
      </c>
      <c r="J415" s="15" t="str">
        <f t="shared" si="13"/>
        <v/>
      </c>
      <c r="K415" s="16"/>
      <c r="L415" s="16"/>
      <c r="M415" s="16"/>
      <c r="N415" s="17"/>
    </row>
    <row r="416" spans="1:14" x14ac:dyDescent="0.35">
      <c r="A416" s="13"/>
      <c r="B416" s="14"/>
      <c r="C416" s="14"/>
      <c r="D416" s="14"/>
      <c r="E416" s="14"/>
      <c r="F416" s="14"/>
      <c r="G416" s="14"/>
      <c r="H416" s="14"/>
      <c r="I416" s="15" t="str">
        <f t="shared" si="12"/>
        <v/>
      </c>
      <c r="J416" s="15" t="str">
        <f t="shared" si="13"/>
        <v/>
      </c>
      <c r="K416" s="16"/>
      <c r="L416" s="16"/>
      <c r="M416" s="16"/>
      <c r="N416" s="17"/>
    </row>
    <row r="417" spans="1:14" x14ac:dyDescent="0.35">
      <c r="A417" s="13"/>
      <c r="B417" s="14"/>
      <c r="C417" s="14"/>
      <c r="D417" s="14"/>
      <c r="E417" s="14"/>
      <c r="F417" s="14"/>
      <c r="G417" s="14"/>
      <c r="H417" s="14"/>
      <c r="I417" s="15" t="str">
        <f t="shared" si="12"/>
        <v/>
      </c>
      <c r="J417" s="15" t="str">
        <f t="shared" si="13"/>
        <v/>
      </c>
      <c r="K417" s="16"/>
      <c r="L417" s="16"/>
      <c r="M417" s="16"/>
      <c r="N417" s="17"/>
    </row>
    <row r="418" spans="1:14" x14ac:dyDescent="0.35">
      <c r="A418" s="13"/>
      <c r="B418" s="14"/>
      <c r="C418" s="14"/>
      <c r="D418" s="14"/>
      <c r="E418" s="14"/>
      <c r="F418" s="14"/>
      <c r="G418" s="14"/>
      <c r="H418" s="14"/>
      <c r="I418" s="15" t="str">
        <f t="shared" si="12"/>
        <v/>
      </c>
      <c r="J418" s="15" t="str">
        <f t="shared" si="13"/>
        <v/>
      </c>
      <c r="K418" s="16"/>
      <c r="L418" s="16"/>
      <c r="M418" s="16"/>
      <c r="N418" s="17"/>
    </row>
    <row r="419" spans="1:14" x14ac:dyDescent="0.35">
      <c r="A419" s="13"/>
      <c r="B419" s="14"/>
      <c r="C419" s="14"/>
      <c r="D419" s="14"/>
      <c r="E419" s="14"/>
      <c r="F419" s="14"/>
      <c r="G419" s="14"/>
      <c r="H419" s="14"/>
      <c r="I419" s="15" t="str">
        <f t="shared" si="12"/>
        <v/>
      </c>
      <c r="J419" s="15" t="str">
        <f t="shared" si="13"/>
        <v/>
      </c>
      <c r="K419" s="16"/>
      <c r="L419" s="16"/>
      <c r="M419" s="16"/>
      <c r="N419" s="17"/>
    </row>
    <row r="420" spans="1:14" x14ac:dyDescent="0.35">
      <c r="A420" s="13"/>
      <c r="B420" s="14"/>
      <c r="C420" s="14"/>
      <c r="D420" s="14"/>
      <c r="E420" s="14"/>
      <c r="F420" s="14"/>
      <c r="G420" s="14"/>
      <c r="H420" s="14"/>
      <c r="I420" s="15" t="str">
        <f t="shared" si="12"/>
        <v/>
      </c>
      <c r="J420" s="15" t="str">
        <f t="shared" si="13"/>
        <v/>
      </c>
      <c r="K420" s="16"/>
      <c r="L420" s="16"/>
      <c r="M420" s="16"/>
      <c r="N420" s="17"/>
    </row>
    <row r="421" spans="1:14" x14ac:dyDescent="0.35">
      <c r="A421" s="13"/>
      <c r="B421" s="14"/>
      <c r="C421" s="14"/>
      <c r="D421" s="14"/>
      <c r="E421" s="14"/>
      <c r="F421" s="14"/>
      <c r="G421" s="14"/>
      <c r="H421" s="14"/>
      <c r="I421" s="15" t="str">
        <f t="shared" si="12"/>
        <v/>
      </c>
      <c r="J421" s="15" t="str">
        <f t="shared" si="13"/>
        <v/>
      </c>
      <c r="K421" s="16"/>
      <c r="L421" s="16"/>
      <c r="M421" s="16"/>
      <c r="N421" s="17"/>
    </row>
    <row r="422" spans="1:14" x14ac:dyDescent="0.35">
      <c r="A422" s="13"/>
      <c r="B422" s="14"/>
      <c r="C422" s="14"/>
      <c r="D422" s="14"/>
      <c r="E422" s="14"/>
      <c r="F422" s="14"/>
      <c r="G422" s="14"/>
      <c r="H422" s="14"/>
      <c r="I422" s="15" t="str">
        <f t="shared" si="12"/>
        <v/>
      </c>
      <c r="J422" s="15" t="str">
        <f t="shared" si="13"/>
        <v/>
      </c>
      <c r="K422" s="16"/>
      <c r="L422" s="16"/>
      <c r="M422" s="16"/>
      <c r="N422" s="17"/>
    </row>
    <row r="423" spans="1:14" x14ac:dyDescent="0.35">
      <c r="A423" s="13"/>
      <c r="B423" s="14"/>
      <c r="C423" s="14"/>
      <c r="D423" s="14"/>
      <c r="E423" s="14"/>
      <c r="F423" s="14"/>
      <c r="G423" s="14"/>
      <c r="H423" s="14"/>
      <c r="I423" s="15" t="str">
        <f t="shared" si="12"/>
        <v/>
      </c>
      <c r="J423" s="15" t="str">
        <f t="shared" si="13"/>
        <v/>
      </c>
      <c r="K423" s="16"/>
      <c r="L423" s="16"/>
      <c r="M423" s="16"/>
      <c r="N423" s="17"/>
    </row>
    <row r="424" spans="1:14" x14ac:dyDescent="0.35">
      <c r="A424" s="13"/>
      <c r="B424" s="14"/>
      <c r="C424" s="14"/>
      <c r="D424" s="14"/>
      <c r="E424" s="14"/>
      <c r="F424" s="14"/>
      <c r="G424" s="14"/>
      <c r="H424" s="14"/>
      <c r="I424" s="15" t="str">
        <f t="shared" si="12"/>
        <v/>
      </c>
      <c r="J424" s="15" t="str">
        <f t="shared" si="13"/>
        <v/>
      </c>
      <c r="K424" s="16"/>
      <c r="L424" s="16"/>
      <c r="M424" s="16"/>
      <c r="N424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2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24" xr:uid="{00000000-0002-0000-0100-000000000000}">
      <formula1>"Excellent,Good,Neutral,Low,Stressed"</formula1>
      <formula2>0</formula2>
    </dataValidation>
    <dataValidation type="list" allowBlank="1" prompt="Select today's satisfaction level" sqref="L6:L42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2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2026-10-09T14:28:55Z</dcterms:modified>
  <dc:language>en-US</dc:language>
</cp:coreProperties>
</file>